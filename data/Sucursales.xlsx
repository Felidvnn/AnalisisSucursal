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rinc\Desktop\App propuesta sucursal\data\"/>
    </mc:Choice>
  </mc:AlternateContent>
  <xr:revisionPtr revIDLastSave="0" documentId="13_ncr:1_{B9432152-D403-411F-A228-8EF071E1D193}" xr6:coauthVersionLast="47" xr6:coauthVersionMax="47" xr10:uidLastSave="{00000000-0000-0000-0000-000000000000}"/>
  <bookViews>
    <workbookView xWindow="-110" yWindow="-110" windowWidth="19420" windowHeight="10300" xr2:uid="{43DF4952-DB35-4A75-9157-5229AFCD87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<sst xmlns="http://schemas.openxmlformats.org/spreadsheetml/2006/main" count="28" uniqueCount="28">
  <si>
    <t>Sucursal</t>
  </si>
  <si>
    <t>Antofagasta</t>
  </si>
  <si>
    <t>Rancagua</t>
  </si>
  <si>
    <t>Talca</t>
  </si>
  <si>
    <t>Concepcion</t>
  </si>
  <si>
    <t>Temuco</t>
  </si>
  <si>
    <t>Puerto Montt</t>
  </si>
  <si>
    <t>Arica</t>
  </si>
  <si>
    <t>Calama</t>
  </si>
  <si>
    <t>Castro</t>
  </si>
  <si>
    <t>Chillan</t>
  </si>
  <si>
    <t>Copiapo</t>
  </si>
  <si>
    <t>Coquimbo</t>
  </si>
  <si>
    <t>Coyhaique</t>
  </si>
  <si>
    <t>Curico</t>
  </si>
  <si>
    <t>Hijuelas</t>
  </si>
  <si>
    <t>Huechuraba</t>
  </si>
  <si>
    <t>Iquique</t>
  </si>
  <si>
    <t>Lo Espejo</t>
  </si>
  <si>
    <t>Osorno</t>
  </si>
  <si>
    <t>Punta Arenas</t>
  </si>
  <si>
    <t>San Antonio</t>
  </si>
  <si>
    <t>San Felipe</t>
  </si>
  <si>
    <t>Miraflores</t>
  </si>
  <si>
    <t>Viña del Mar</t>
  </si>
  <si>
    <t>Valdivia</t>
  </si>
  <si>
    <t>Los Angeles</t>
  </si>
  <si>
    <t>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</si>
</sst>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1892-4D25-40A4-B481-A86427439BC2}">
  <dimension ref="A1:C27"/>
  <sheetViews>
    <sheetView tabSelected="1" workbookViewId="0">
      <selection activeCell="B28" sqref="B28"/>
    </sheetView>
  </sheetViews>
  <sheetFormatPr baseColWidth="10" defaultRowHeight="14.5" x14ac:dyDescent="0.35"/>
  <cols>
    <col min="1" max="1" width="12" bestFit="1" customWidth="1"/>
    <col min="2" max="2" width="37.54296875" bestFit="1" customWidth="1"/>
    <col min="3" max="3" width="8" bestFit="1" customWidth="1"/>
    <col min="4" max="4" width="4.1796875" bestFit="1" customWidth="1"/>
    <col min="5" max="5" width="19.26953125" bestFit="1" customWidth="1"/>
  </cols>
  <sheetData>
    <row r="1" spans="1:3" x14ac:dyDescent="0.35">
      <c r="A1" t="s">
        <v>0</v>
      </c>
      <c r="B1" t="s">
        <v>27</v>
      </c>
    </row>
    <row r="2" spans="1:3" x14ac:dyDescent="0.35">
      <c r="A2" t="s">
        <v>1</v>
      </c>
      <c r="B2" s="2" t="str">
        <f>"-23.615371211689336,-70.3887837067521"</f>
        <v>-23.615371211689336,-70.3887837067521</v>
      </c>
      <c r="C2" s="1"/>
    </row>
    <row r="3" spans="1:3" x14ac:dyDescent="0.35">
      <c r="A3" t="s">
        <v>7</v>
      </c>
      <c r="B3" s="1" t="str">
        <f>"-18.475560325431324, -70.30026035005729"</f>
        <v>-18.475560325431324, -70.30026035005729</v>
      </c>
      <c r="C3" s="1"/>
    </row>
    <row r="4" spans="1:3" x14ac:dyDescent="0.35">
      <c r="A4" t="s">
        <v>8</v>
      </c>
      <c r="B4" s="1" t="str">
        <f>"-22.467014320510387, -68.9272703322709"</f>
        <v>-22.467014320510387, -68.9272703322709</v>
      </c>
      <c r="C4" s="1"/>
    </row>
    <row r="5" spans="1:3" x14ac:dyDescent="0.35">
      <c r="A5" t="s">
        <v>9</v>
      </c>
      <c r="B5" s="1" t="str">
        <f>"-42.393876137108556, -73.78165225917103"</f>
        <v>-42.393876137108556, -73.78165225917103</v>
      </c>
      <c r="C5" s="1"/>
    </row>
    <row r="6" spans="1:3" x14ac:dyDescent="0.35">
      <c r="A6" t="s">
        <v>10</v>
      </c>
      <c r="B6" s="1" t="str">
        <f>"-36.58529940357474, -72.1023136355924"</f>
        <v>-36.58529940357474, -72.1023136355924</v>
      </c>
      <c r="C6" s="1"/>
    </row>
    <row r="7" spans="1:3" x14ac:dyDescent="0.35">
      <c r="A7" t="s">
        <v>4</v>
      </c>
      <c r="B7" s="1" t="str">
        <f>"-36.776727827821304, -73.01838105482113"</f>
        <v>-36.776727827821304, -73.01838105482113</v>
      </c>
      <c r="C7" s="1"/>
    </row>
    <row r="8" spans="1:3" x14ac:dyDescent="0.35">
      <c r="A8" t="s">
        <v>11</v>
      </c>
      <c r="B8" s="1" t="str">
        <f>"-27.336378031820832, -70.37648147848655"</f>
        <v>-27.336378031820832, -70.37648147848655</v>
      </c>
      <c r="C8" s="1"/>
    </row>
    <row r="9" spans="1:3" x14ac:dyDescent="0.35">
      <c r="A9" t="s">
        <v>12</v>
      </c>
      <c r="B9" s="1" t="str">
        <f>"-30.03868702529822, -71.26884013377041"</f>
        <v>-30.03868702529822, -71.26884013377041</v>
      </c>
      <c r="C9" s="1"/>
    </row>
    <row r="10" spans="1:3" x14ac:dyDescent="0.35">
      <c r="A10" t="s">
        <v>13</v>
      </c>
      <c r="B10" s="1" t="str">
        <f>"-45.569688609398966, -72.01025574806438"</f>
        <v>-45.569688609398966, -72.01025574806438</v>
      </c>
      <c r="C10" s="1"/>
    </row>
    <row r="11" spans="1:3" x14ac:dyDescent="0.35">
      <c r="A11" t="s">
        <v>14</v>
      </c>
      <c r="B11" s="1" t="str">
        <f>"-34.9728576856648, -71.20069869305453"</f>
        <v>-34.9728576856648, -71.20069869305453</v>
      </c>
      <c r="C11" s="1"/>
    </row>
    <row r="12" spans="1:3" x14ac:dyDescent="0.35">
      <c r="A12" t="s">
        <v>15</v>
      </c>
      <c r="B12" s="1" t="str">
        <f>"-32.79482521648549, -71.16024752338512"</f>
        <v>-32.79482521648549, -71.16024752338512</v>
      </c>
      <c r="C12" s="1"/>
    </row>
    <row r="13" spans="1:3" x14ac:dyDescent="0.35">
      <c r="A13" t="s">
        <v>16</v>
      </c>
      <c r="B13" s="1" t="str">
        <f>"-33.37233868571305, -70.65494287102615"</f>
        <v>-33.37233868571305, -70.65494287102615</v>
      </c>
      <c r="C13" s="1"/>
    </row>
    <row r="14" spans="1:3" x14ac:dyDescent="0.35">
      <c r="A14" t="s">
        <v>17</v>
      </c>
      <c r="B14" s="1" t="str">
        <f>"-20.230003662878282, -70.13523044894409"</f>
        <v>-20.230003662878282, -70.13523044894409</v>
      </c>
      <c r="C14" s="1"/>
    </row>
    <row r="15" spans="1:3" x14ac:dyDescent="0.35">
      <c r="A15" t="s">
        <v>18</v>
      </c>
      <c r="B15" s="1" t="str">
        <f>"-33.523690866672496, -70.71667233209195"</f>
        <v>-33.523690866672496, -70.71667233209195</v>
      </c>
      <c r="C15" s="1"/>
    </row>
    <row r="16" spans="1:3" x14ac:dyDescent="0.35">
      <c r="A16" t="s">
        <v>26</v>
      </c>
      <c r="B16" s="1" t="str">
        <f>"-37.50809325553765, -72.32674362018514"</f>
        <v>-37.50809325553765, -72.32674362018514</v>
      </c>
      <c r="C16" s="1"/>
    </row>
    <row r="17" spans="1:3" x14ac:dyDescent="0.35">
      <c r="A17" t="s">
        <v>19</v>
      </c>
      <c r="B17" s="1" t="str">
        <f>"-40.576416400525574, -73.0971367057756"</f>
        <v>-40.576416400525574, -73.0971367057756</v>
      </c>
      <c r="C17" s="1"/>
    </row>
    <row r="18" spans="1:3" x14ac:dyDescent="0.35">
      <c r="A18" t="s">
        <v>6</v>
      </c>
      <c r="B18" s="1" t="str">
        <f>"-41.45768186337082, -72.9724111326848"</f>
        <v>-41.45768186337082, -72.9724111326848</v>
      </c>
      <c r="C18" s="1"/>
    </row>
    <row r="19" spans="1:3" x14ac:dyDescent="0.35">
      <c r="A19" t="s">
        <v>20</v>
      </c>
      <c r="B19" s="1" t="str">
        <f>"-53.099343759912266, -70.8875933882478"</f>
        <v>-53.099343759912266, -70.8875933882478</v>
      </c>
      <c r="C19" s="1"/>
    </row>
    <row r="20" spans="1:3" x14ac:dyDescent="0.35">
      <c r="A20" t="s">
        <v>2</v>
      </c>
      <c r="B20" s="1" t="str">
        <f>"-34.190342672672365, -70.74725784664402"</f>
        <v>-34.190342672672365, -70.74725784664402</v>
      </c>
      <c r="C20" s="1"/>
    </row>
    <row r="21" spans="1:3" x14ac:dyDescent="0.35">
      <c r="A21" t="s">
        <v>21</v>
      </c>
      <c r="B21" s="1" t="str">
        <f>"-33.56147459061808, -71.55757258280822"</f>
        <v>-33.56147459061808, -71.55757258280822</v>
      </c>
      <c r="C21" s="1"/>
    </row>
    <row r="22" spans="1:3" x14ac:dyDescent="0.35">
      <c r="A22" t="s">
        <v>22</v>
      </c>
      <c r="B22" s="1" t="str">
        <f>"-32.777814292328124, -70.71221449433995"</f>
        <v>-32.777814292328124, -70.71221449433995</v>
      </c>
      <c r="C22" s="1"/>
    </row>
    <row r="23" spans="1:3" x14ac:dyDescent="0.35">
      <c r="A23" t="s">
        <v>23</v>
      </c>
      <c r="B23" s="1" t="str">
        <f>"-33.39876599104304, -70.77110306787101"</f>
        <v>-33.39876599104304, -70.77110306787101</v>
      </c>
      <c r="C23" s="1"/>
    </row>
    <row r="24" spans="1:3" x14ac:dyDescent="0.35">
      <c r="A24" t="s">
        <v>3</v>
      </c>
      <c r="B24" s="1" t="str">
        <f>"-35.42143630675543, -71.6340128726166"</f>
        <v>-35.42143630675543, -71.6340128726166</v>
      </c>
      <c r="C24" s="1"/>
    </row>
    <row r="25" spans="1:3" x14ac:dyDescent="0.35">
      <c r="A25" t="s">
        <v>5</v>
      </c>
      <c r="B25" s="1" t="str">
        <f>"-38.761631556960204, -72.6048639414568"</f>
        <v>-38.761631556960204, -72.6048639414568</v>
      </c>
      <c r="C25" s="1"/>
    </row>
    <row r="26" spans="1:3" x14ac:dyDescent="0.35">
      <c r="A26" t="s">
        <v>25</v>
      </c>
      <c r="B26" s="1" t="str">
        <f>"-39.8086408618949, -73.23401468192853"</f>
        <v>-39.8086408618949, -73.23401468192853</v>
      </c>
      <c r="C26" s="1"/>
    </row>
    <row r="27" spans="1:3" x14ac:dyDescent="0.35">
      <c r="A27" t="s">
        <v>24</v>
      </c>
      <c r="B27" s="1" t="str">
        <f>"-33.04899141628219, -71.50889273704554"</f>
        <v>-33.04899141628219, -71.50889273704554</v>
      </c>
      <c r="C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Ignacio Marin Correa</dc:creator>
  <cp:lastModifiedBy>Felipe Ignacio Marin Correa</cp:lastModifiedBy>
  <dcterms:created xsi:type="dcterms:W3CDTF">2025-12-01T18:18:02Z</dcterms:created>
  <dcterms:modified xsi:type="dcterms:W3CDTF">2025-12-01T19:20:54Z</dcterms:modified>
</cp:coreProperties>
</file>